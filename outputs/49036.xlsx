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40" yWindow="1272" windowWidth="11532" windowHeight="10716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rades" sheetId="2" state="visible" r:id="rId2"/>
    <sheet xmlns:r="http://schemas.openxmlformats.org/officeDocument/2006/relationships" name="Data" sheetId="3" state="visible" r:id="rId3"/>
  </sheets>
  <definedNames>
    <definedName name="NewsType">Data!#REF!</definedName>
    <definedName name="ParabolicSelect">Data!#REF!</definedName>
    <definedName name="PositionType">Data!$A$1:$A$2</definedName>
    <definedName name="PowerHourSelect">Data!#REF!</definedName>
    <definedName name="StoppedSelect">Data!$A$4:$A$5</definedName>
    <definedName name="StrategiesList">Data!#REF!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&quot;$&quot;#,##0"/>
    <numFmt numFmtId="166" formatCode="0.0%"/>
  </numFmts>
  <fonts count="7">
    <font>
      <name val="宋体"/>
      <charset val="134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 tint="0.0499893185216834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color theme="1" tint="0.0499893185216834"/>
      <sz val="10"/>
      <scheme val="minor"/>
    </font>
    <font>
      <name val="宋体"/>
      <charset val="134"/>
      <b val="1"/>
      <color theme="1" tint="0.0499893185216834"/>
      <sz val="10"/>
      <u val="single"/>
      <scheme val="minor"/>
    </font>
    <font>
      <name val="宋体"/>
      <charset val="134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  <fill>
      <patternFill patternType="solid">
        <fgColor theme="0" tint="-0.49998474074526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9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4" fontId="2" fillId="2" borderId="1" applyAlignment="1" pivotButton="0" quotePrefix="0" xfId="0">
      <alignment horizontal="center" vertical="center"/>
    </xf>
    <xf numFmtId="3" fontId="1" fillId="0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3" fontId="1" fillId="0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166" fontId="1" fillId="0" borderId="4" applyAlignment="1" pivotButton="0" quotePrefix="0" xfId="0">
      <alignment horizontal="center" vertical="center"/>
    </xf>
    <xf numFmtId="166" fontId="1" fillId="0" borderId="3" applyAlignment="1" pivotButton="0" quotePrefix="0" xfId="0">
      <alignment horizontal="center" vertical="center"/>
    </xf>
    <xf numFmtId="166" fontId="1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0" xfId="0">
      <alignment horizontal="right"/>
    </xf>
    <xf numFmtId="0" fontId="0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/>
    </xf>
    <xf numFmtId="0" fontId="3" fillId="2" borderId="6" applyAlignment="1" pivotButton="0" quotePrefix="0" xfId="0">
      <alignment horizontal="center" vertical="center"/>
    </xf>
    <xf numFmtId="0" fontId="1" fillId="3" borderId="13" applyAlignment="1" pivotButton="0" quotePrefix="0" xfId="0">
      <alignment horizontal="center" vertical="center"/>
    </xf>
    <xf numFmtId="0" fontId="4" fillId="3" borderId="14" applyAlignment="1" pivotButton="0" quotePrefix="0" xfId="0">
      <alignment horizontal="right" vertical="center"/>
    </xf>
    <xf numFmtId="165" fontId="2" fillId="3" borderId="15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0" fontId="1" fillId="3" borderId="16" applyAlignment="1" pivotButton="0" quotePrefix="0" xfId="0">
      <alignment horizontal="center" vertical="center"/>
    </xf>
    <xf numFmtId="0" fontId="4" fillId="3" borderId="6" applyAlignment="1" pivotButton="0" quotePrefix="0" xfId="0">
      <alignment horizontal="right" vertical="center"/>
    </xf>
    <xf numFmtId="166" fontId="2" fillId="3" borderId="17" applyAlignment="1" pivotButton="0" quotePrefix="0" xfId="0">
      <alignment horizontal="center" vertical="center"/>
    </xf>
    <xf numFmtId="166" fontId="2" fillId="2" borderId="0" applyAlignment="1" pivotButton="0" quotePrefix="0" xfId="0">
      <alignment horizontal="center" vertical="center"/>
    </xf>
    <xf numFmtId="164" fontId="2" fillId="3" borderId="17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0" fontId="1" fillId="3" borderId="18" applyAlignment="1" pivotButton="0" quotePrefix="0" xfId="0">
      <alignment horizontal="center" vertical="center"/>
    </xf>
    <xf numFmtId="0" fontId="4" fillId="3" borderId="19" applyAlignment="1" pivotButton="0" quotePrefix="0" xfId="0">
      <alignment horizontal="right" vertical="center"/>
    </xf>
    <xf numFmtId="0" fontId="1" fillId="3" borderId="20" applyAlignment="1" pivotButton="0" quotePrefix="0" xfId="0">
      <alignment horizontal="center" vertical="center"/>
    </xf>
    <xf numFmtId="0" fontId="4" fillId="3" borderId="21" applyAlignment="1" pivotButton="0" quotePrefix="0" xfId="0">
      <alignment horizontal="right" vertical="center"/>
    </xf>
    <xf numFmtId="164" fontId="5" fillId="3" borderId="22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0" fontId="3" fillId="3" borderId="7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3" fillId="3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/>
    </xf>
    <xf numFmtId="0" fontId="3" fillId="3" borderId="2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165" fontId="2" fillId="3" borderId="15" applyAlignment="1" pivotButton="0" quotePrefix="0" xfId="0">
      <alignment horizontal="center" vertical="center"/>
    </xf>
    <xf numFmtId="165" fontId="2" fillId="2" borderId="0" applyAlignment="1" pivotButton="0" quotePrefix="0" xfId="0">
      <alignment horizontal="center" vertical="center"/>
    </xf>
    <xf numFmtId="166" fontId="2" fillId="3" borderId="17" applyAlignment="1" pivotButton="0" quotePrefix="0" xfId="0">
      <alignment horizontal="center" vertical="center"/>
    </xf>
    <xf numFmtId="166" fontId="2" fillId="2" borderId="0" applyAlignment="1" pivotButton="0" quotePrefix="0" xfId="0">
      <alignment horizontal="center" vertical="center"/>
    </xf>
    <xf numFmtId="164" fontId="2" fillId="3" borderId="17" applyAlignment="1" pivotButton="0" quotePrefix="0" xfId="0">
      <alignment horizontal="center" vertical="center"/>
    </xf>
    <xf numFmtId="164" fontId="2" fillId="2" borderId="0" applyAlignment="1" pivotButton="0" quotePrefix="0" xfId="0">
      <alignment horizontal="center" vertical="center"/>
    </xf>
    <xf numFmtId="164" fontId="5" fillId="3" borderId="22" applyAlignment="1" pivotButton="0" quotePrefix="0" xfId="0">
      <alignment horizontal="center" vertical="center"/>
    </xf>
    <xf numFmtId="164" fontId="5" fillId="2" borderId="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166" fontId="1" fillId="0" borderId="1" applyAlignment="1" pivotButton="0" quotePrefix="0" xfId="0">
      <alignment horizontal="center" vertical="center"/>
    </xf>
    <xf numFmtId="164" fontId="1" fillId="0" borderId="4" applyAlignment="1" pivotButton="0" quotePrefix="0" xfId="0">
      <alignment horizontal="center" vertical="center"/>
    </xf>
    <xf numFmtId="166" fontId="1" fillId="0" borderId="4" applyAlignment="1" pivotButton="0" quotePrefix="0" xfId="0">
      <alignment horizontal="center" vertical="center"/>
    </xf>
    <xf numFmtId="164" fontId="1" fillId="0" borderId="3" applyAlignment="1" pivotButton="0" quotePrefix="0" xfId="0">
      <alignment horizontal="center" vertical="center"/>
    </xf>
    <xf numFmtId="166" fontId="1" fillId="0" borderId="3" applyAlignment="1" pivotButton="0" quotePrefix="0" xfId="0">
      <alignment horizontal="center" vertical="center"/>
    </xf>
    <xf numFmtId="166" fontId="1" fillId="0" borderId="5" applyAlignment="1" pivotButton="0" quotePrefix="0" xfId="0">
      <alignment horizontal="center" vertical="center"/>
    </xf>
  </cellXfs>
  <cellStyles count="1">
    <cellStyle name="常规" xfId="0" builtinId="0"/>
  </cellStyles>
  <dxfs count="22">
    <dxf>
      <fill>
        <patternFill patternType="solid">
          <bgColor theme="6" tint="0.5999633777886288"/>
        </patternFill>
      </fill>
    </dxf>
    <dxf>
      <fill>
        <patternFill patternType="solid">
          <bgColor theme="5" tint="0.5999633777886288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6" tint="0.5999633777886288"/>
        </patternFill>
      </fill>
    </dxf>
    <dxf>
      <fill>
        <patternFill patternType="solid">
          <bgColor theme="5" tint="0.5999633777886288"/>
        </patternFill>
      </fill>
    </dxf>
    <dxf>
      <fill>
        <patternFill patternType="solid">
          <bgColor theme="0"/>
        </patternFill>
      </fill>
    </dxf>
    <dxf>
      <font>
        <b val="1"/>
        <color theme="6" tint="0.5999633777886288"/>
      </font>
      <fill>
        <patternFill patternType="solid">
          <bgColor theme="0" tint="-0.499984740745262"/>
        </patternFill>
      </fill>
    </dxf>
    <dxf>
      <font>
        <b val="1"/>
        <color theme="5" tint="0.5999633777886288"/>
      </font>
      <fill>
        <patternFill patternType="solid">
          <bgColor theme="0" tint="-0.499984740745262"/>
        </patternFill>
      </fill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8" formatCode="0.0%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8" formatCode="0.0%"/>
      <fill>
        <patternFill/>
      </fill>
      <alignment horizontal="center" vertical="center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3" formatCode="#,##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176" formatCode="&quot;$&quot;#,##0.00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strike val="0"/>
        <color theme="1"/>
        <sz val="10"/>
      </font>
      <numFmt numFmtId="0" formatCode="General"/>
      <fill>
        <patternFill/>
      </fill>
      <alignment horizontal="center"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Calibri"/>
        <b val="1"/>
        <strike val="0"/>
        <color theme="1" tint="0.0499893185216834"/>
        <sz val="10"/>
      </font>
      <numFmt numFmtId="0" formatCode="General"/>
      <fill>
        <patternFill patternType="solid">
          <bgColor theme="0" tint="-0.3499862666707358"/>
        </patternFill>
      </fill>
      <alignment horizontal="center" vertical="center"/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1" displayName="Table1" ref="A1:N16" headerRowCount="1" totalsRowShown="0">
  <tableColumns count="14">
    <tableColumn id="1" name="Date" dataDxfId="21"/>
    <tableColumn id="3" name="Ticker" dataDxfId="20"/>
    <tableColumn id="4" name="Position" dataDxfId="19"/>
    <tableColumn id="9" name="Entry Price" dataDxfId="18"/>
    <tableColumn id="10" name="Exit Price" dataDxfId="17"/>
    <tableColumn id="18" name="Stop Loss" dataDxfId="16"/>
    <tableColumn id="5" name="Shares" dataDxfId="15"/>
    <tableColumn id="11" name="P&amp;L $" dataDxfId="14">
      <calculatedColumnFormula>IF(OR(E2="",D2="",G2="",C2="")=TRUE,"",IF(C2="LONG",(E2-D2)*G2,IF(C2="SHORT",(D2-E2)*G2)))</calculatedColumnFormula>
    </tableColumn>
    <tableColumn id="12" name="P&amp;L %" dataDxfId="13">
      <calculatedColumnFormula>IF(OR(E2="",D2="",C2="")=TRUE,"",IF(C2="LONG",(E2-D2)/D2,IF(C2="SHORT",(D2-E2)/D2)))</calculatedColumnFormula>
    </tableColumn>
    <tableColumn id="17" name="Exposure" dataDxfId="12">
      <calculatedColumnFormula>IF(OR(D2="",G2=""),"",(D2*G2))</calculatedColumnFormula>
    </tableColumn>
    <tableColumn id="23" name="Risked %" dataDxfId="11">
      <calculatedColumnFormula>IF(OR(F2="",D2="",C2="")=TRUE,"",IF(C2="LONG",(D2-F2)/D2,IF(C2="SHORT",(F2-D2)/D2)))</calculatedColumnFormula>
    </tableColumn>
    <tableColumn id="21" name="Risked $" dataDxfId="10">
      <calculatedColumnFormula>IF(OR(J2="",K2=""),"",(J2*K2))</calculatedColumnFormula>
    </tableColumn>
    <tableColumn id="19" name="Commission" dataDxfId="9">
      <calculatedColumnFormula>IF(G2,G2*0.005,"")</calculatedColumnFormula>
    </tableColumn>
    <tableColumn id="25" name="Stopped" dataDxfId="8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tabSelected="1" workbookViewId="0">
      <selection activeCell="B8" sqref="B8"/>
    </sheetView>
  </sheetViews>
  <sheetFormatPr baseColWidth="8" defaultColWidth="9" defaultRowHeight="14.4"/>
  <cols>
    <col width="9.109375" customWidth="1" min="1" max="1"/>
    <col width="25.33203125" customWidth="1" min="2" max="2"/>
    <col width="22.6640625" customWidth="1" style="21" min="3" max="3"/>
    <col width="21.6640625" customWidth="1" style="22" min="4" max="4"/>
  </cols>
  <sheetData>
    <row r="1">
      <c r="A1" s="23" t="n"/>
      <c r="B1" s="23" t="n"/>
      <c r="C1" s="24" t="n"/>
      <c r="D1" s="25" t="n"/>
      <c r="E1" s="23" t="n"/>
    </row>
    <row r="2">
      <c r="A2" s="23" t="n"/>
      <c r="B2" s="23" t="n"/>
      <c r="C2" s="24" t="n"/>
      <c r="D2" s="25" t="n"/>
      <c r="E2" s="23" t="n"/>
    </row>
    <row r="3">
      <c r="A3" s="26" t="n"/>
      <c r="B3" s="51" t="n"/>
      <c r="C3" s="52" t="inlineStr">
        <is>
          <t>TRADE STATISTICS</t>
        </is>
      </c>
      <c r="D3" s="27" t="n"/>
      <c r="E3" s="28" t="n"/>
    </row>
    <row r="4">
      <c r="A4" s="26" t="n"/>
      <c r="B4" s="53" t="n"/>
      <c r="C4" s="54" t="n"/>
      <c r="D4" s="29" t="n"/>
      <c r="E4" s="28" t="n"/>
    </row>
    <row r="5">
      <c r="A5" s="30" t="n"/>
      <c r="B5" s="31">
        <f>SUMPRODUCT(COUNTIF(Trades!C:C,{"LONG","SHORT"}))&amp;" TRADES"</f>
        <v/>
      </c>
      <c r="C5" s="32" t="inlineStr">
        <is>
          <t>START CAPITAL $:</t>
        </is>
      </c>
      <c r="D5" s="55" t="n">
        <v>100000</v>
      </c>
      <c r="E5" s="56" t="n"/>
    </row>
    <row r="6">
      <c r="A6" s="30" t="n"/>
      <c r="B6" s="35">
        <f>SUMPRODUCT(COUNTIFS(Trades!N:N,"NO",Trades!C:C,{"LONG","SHORT"}))&amp;" GOOD TRADES"</f>
        <v/>
      </c>
      <c r="C6" s="36" t="inlineStr">
        <is>
          <t>GROSS RETURN %:</t>
        </is>
      </c>
      <c r="D6" s="57">
        <f>SUM(Table1[P&amp;L %])</f>
        <v/>
      </c>
      <c r="E6" s="58" t="n"/>
    </row>
    <row r="7">
      <c r="A7" s="30" t="n"/>
      <c r="B7" s="35">
        <f>SUMPRODUCT(COUNTIFS(Trades!N:N,"YES",Trades!C:C,{"LONG","SHORT"}))&amp;" BAD TRADES"</f>
        <v/>
      </c>
      <c r="C7" s="36" t="inlineStr">
        <is>
          <t>GROSS RETURN $:</t>
        </is>
      </c>
      <c r="D7" s="59">
        <f>SUM(Table1[P&amp;L $])</f>
        <v/>
      </c>
      <c r="E7" s="60" t="n"/>
    </row>
    <row r="8">
      <c r="A8" s="30" t="n"/>
      <c r="B8" s="41" t="inlineStr">
        <is>
          <t>67% WIN RATE</t>
        </is>
      </c>
      <c r="C8" s="42" t="inlineStr">
        <is>
          <t>COMMISSIONS $:</t>
        </is>
      </c>
      <c r="D8" s="59">
        <f>SUM(Table1[Commission])</f>
        <v/>
      </c>
      <c r="E8" s="60" t="n"/>
    </row>
    <row r="9" ht="31.5" customHeight="1">
      <c r="A9" s="30" t="n"/>
      <c r="B9" s="43" t="n"/>
      <c r="C9" s="44" t="inlineStr">
        <is>
          <t>NET EQUITY $:</t>
        </is>
      </c>
      <c r="D9" s="61">
        <f>SUM(D5,D7)-D8</f>
        <v/>
      </c>
      <c r="E9" s="62" t="n"/>
    </row>
    <row r="10">
      <c r="A10" s="23" t="n"/>
      <c r="B10" s="23" t="n"/>
      <c r="C10" s="24" t="n"/>
      <c r="D10" s="25" t="n"/>
      <c r="E10" s="23" t="n"/>
    </row>
    <row r="11">
      <c r="A11" s="23" t="n"/>
      <c r="B11" s="23" t="n"/>
      <c r="C11" s="24" t="n"/>
      <c r="D11" s="25" t="n"/>
      <c r="E11" s="23" t="n"/>
    </row>
  </sheetData>
  <mergeCells count="2">
    <mergeCell ref="C3:C4"/>
    <mergeCell ref="B3:B4"/>
  </mergeCells>
  <conditionalFormatting sqref="D6:E7 D9:E9">
    <cfRule type="cellIs" priority="1" operator="lessThan" dxfId="7">
      <formula>0</formula>
    </cfRule>
    <cfRule type="cellIs" priority="2" operator="greaterThan" dxfId="6">
      <formula>0</formula>
    </cfRule>
  </conditionalFormatting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topLeftCell="H1" workbookViewId="0">
      <selection activeCell="N8" sqref="N8"/>
    </sheetView>
  </sheetViews>
  <sheetFormatPr baseColWidth="8" defaultColWidth="9.109375" defaultRowHeight="12"/>
  <cols>
    <col width="21.33203125" customWidth="1" style="4" min="1" max="1"/>
    <col width="12.6640625" customWidth="1" style="3" min="2" max="3"/>
    <col width="12.6640625" customWidth="1" style="5" min="4" max="4"/>
    <col width="12.6640625" customWidth="1" style="63" min="5" max="7"/>
    <col width="12.6640625" customWidth="1" style="3" min="8" max="8"/>
    <col width="12.6640625" customWidth="1" style="64" min="9" max="9"/>
    <col width="12.6640625" customWidth="1" style="8" min="10" max="14"/>
    <col width="9.109375" customWidth="1" style="3" min="15" max="16384"/>
  </cols>
  <sheetData>
    <row r="1" ht="24.9" customFormat="1" customHeight="1" s="2">
      <c r="A1" s="9" t="inlineStr">
        <is>
          <t>Date</t>
        </is>
      </c>
      <c r="B1" s="2" t="inlineStr">
        <is>
          <t>Ticker</t>
        </is>
      </c>
      <c r="C1" s="2" t="inlineStr">
        <is>
          <t>Position</t>
        </is>
      </c>
      <c r="D1" s="2" t="inlineStr">
        <is>
          <t>Entry Price</t>
        </is>
      </c>
      <c r="E1" s="2" t="inlineStr">
        <is>
          <t>Exit Price</t>
        </is>
      </c>
      <c r="F1" s="2" t="inlineStr">
        <is>
          <t>Stop Loss</t>
        </is>
      </c>
      <c r="G1" s="2" t="inlineStr">
        <is>
          <t>Shares</t>
        </is>
      </c>
      <c r="H1" s="2" t="inlineStr">
        <is>
          <t>P&amp;L $</t>
        </is>
      </c>
      <c r="I1" s="2" t="inlineStr">
        <is>
          <t>P&amp;L %</t>
        </is>
      </c>
      <c r="J1" s="15" t="inlineStr">
        <is>
          <t>Exposure</t>
        </is>
      </c>
      <c r="K1" s="15" t="inlineStr">
        <is>
          <t>Risked %</t>
        </is>
      </c>
      <c r="L1" s="15" t="inlineStr">
        <is>
          <t>Risked $</t>
        </is>
      </c>
      <c r="M1" s="15" t="inlineStr">
        <is>
          <t>Commission</t>
        </is>
      </c>
      <c r="N1" s="15" t="inlineStr">
        <is>
          <t>Stopped</t>
        </is>
      </c>
    </row>
    <row r="2">
      <c r="A2" s="10" t="n">
        <v>44531</v>
      </c>
      <c r="B2" s="3" t="inlineStr">
        <is>
          <t>IMGN</t>
        </is>
      </c>
      <c r="C2" s="3" t="inlineStr">
        <is>
          <t>LONG</t>
        </is>
      </c>
      <c r="D2" s="63" t="n">
        <v>7.13</v>
      </c>
      <c r="E2" s="63" t="n">
        <v>7.64</v>
      </c>
      <c r="F2" s="63" t="n">
        <v>6.82</v>
      </c>
      <c r="G2" s="11" t="n">
        <v>7900</v>
      </c>
      <c r="H2" s="63">
        <f>IF(OR(E2="",D2="",G2="",C2="")=TRUE,"",IF(C2="LONG",(E2-D2)*G2,IF(C2="SHORT",(D2-E2)*G2)))</f>
        <v/>
      </c>
      <c r="I2" s="65">
        <f>IF(OR(E2="",D2="",C2="")=TRUE,"",IF(C2="LONG",(E2-D2)/D2,IF(C2="SHORT",(D2-E2)/D2)))</f>
        <v/>
      </c>
      <c r="J2" s="66">
        <f>IF(OR(D2="",G2=""),"",(D2*G2))</f>
        <v/>
      </c>
      <c r="K2" s="67">
        <f>IF(OR(F2="",D2="",C2="")=TRUE,"",IF(C2="LONG",(D2-F2)/D2,IF(C2="SHORT",(F2-D2)/D2)))</f>
        <v/>
      </c>
      <c r="L2" s="66">
        <f>IF(OR(J2="",K2=""),"",(J2*K2))</f>
        <v/>
      </c>
      <c r="M2" s="66">
        <f>IF(G2,G2*0.005,"")</f>
        <v/>
      </c>
      <c r="N2" s="66" t="inlineStr">
        <is>
          <t>NO</t>
        </is>
      </c>
    </row>
    <row r="3">
      <c r="A3" s="10" t="n">
        <v>44531</v>
      </c>
      <c r="B3" s="3" t="inlineStr">
        <is>
          <t>AHI</t>
        </is>
      </c>
      <c r="C3" s="3" t="inlineStr">
        <is>
          <t>LONG</t>
        </is>
      </c>
      <c r="D3" s="63" t="n">
        <v>4.76</v>
      </c>
      <c r="E3" s="63" t="n">
        <v>5.28</v>
      </c>
      <c r="F3" s="63" t="n">
        <v>4.49</v>
      </c>
      <c r="G3" s="11" t="n">
        <v>10500</v>
      </c>
      <c r="H3" s="63">
        <f>IF(OR(E3="",D3="",G3="",C3="")=TRUE,"",IF(C3="LONG",(E3-D3)*G3,IF(C3="SHORT",(D3-E3)*G3)))</f>
        <v/>
      </c>
      <c r="I3" s="65">
        <f>IF(OR(E3="",D3="",C3="")=TRUE,"",IF(C3="LONG",(E3-D3)/D3,IF(C3="SHORT",(D3-E3)/D3)))</f>
        <v/>
      </c>
      <c r="J3" s="66">
        <f>IF(OR(D3="",G3=""),"",(D3*G3))</f>
        <v/>
      </c>
      <c r="K3" s="67">
        <f>IF(OR(F3="",D3="",C3="")=TRUE,"",IF(C3="LONG",(D3-F3)/D3,IF(C3="SHORT",(F3-D3)/D3)))</f>
        <v/>
      </c>
      <c r="L3" s="66">
        <f>IF(OR(J3="",K3=""),"",(J3*K3))</f>
        <v/>
      </c>
      <c r="M3" s="63">
        <f>IF(G3,G3*0.005,"")</f>
        <v/>
      </c>
      <c r="N3" s="66" t="inlineStr">
        <is>
          <t>NO</t>
        </is>
      </c>
    </row>
    <row r="4">
      <c r="A4" s="10" t="n">
        <v>44531</v>
      </c>
      <c r="B4" s="3" t="inlineStr">
        <is>
          <t>AMAZ</t>
        </is>
      </c>
      <c r="C4" s="3" t="inlineStr">
        <is>
          <t>LONG</t>
        </is>
      </c>
      <c r="D4" s="63" t="n">
        <v>2</v>
      </c>
      <c r="E4" s="63" t="n">
        <v>1</v>
      </c>
      <c r="F4" s="63" t="n">
        <v>1.1</v>
      </c>
      <c r="G4" s="11" t="n">
        <v>30000</v>
      </c>
      <c r="H4" s="63">
        <f>IF(OR(E4="",D4="",G4="",C4="")=TRUE,"",IF(C4="LONG",(E4-D4)*G4,IF(C4="SHORT",(D4-E4)*G4)))</f>
        <v/>
      </c>
      <c r="I4" s="65">
        <f>IF(OR(E4="",D4="",C4="")=TRUE,"",IF(C4="LONG",(E4-D4)/D4,IF(C4="SHORT",(D4-E4)/D4)))</f>
        <v/>
      </c>
      <c r="J4" s="66">
        <f>IF(OR(D4="",G4=""),"",(D4*G4))</f>
        <v/>
      </c>
      <c r="K4" s="67">
        <f>IF(OR(F4="",D4="",C4="")=TRUE,"",IF(C4="LONG",(D4-F4)/D4,IF(C4="SHORT",(F4-D4)/D4)))</f>
        <v/>
      </c>
      <c r="L4" s="66">
        <f>IF(OR(J4="",K4=""),"",(J4*K4))</f>
        <v/>
      </c>
      <c r="M4" s="63">
        <f>IF(G4,G4*0.005,"")</f>
        <v/>
      </c>
      <c r="N4" s="66" t="inlineStr">
        <is>
          <t>YES</t>
        </is>
      </c>
    </row>
    <row r="5">
      <c r="A5" s="2" t="n"/>
      <c r="D5" s="63" t="n"/>
      <c r="G5" s="11" t="n"/>
      <c r="H5" s="63">
        <f>IF(OR(E5="",D5="",G5="",C5="")=TRUE,"",IF(C5="LONG",(E5-D5)*G5,IF(C5="SHORT",(D5-E5)*G5)))</f>
        <v/>
      </c>
      <c r="I5" s="65">
        <f>IF(OR(E5="",D5="",C5="")=TRUE,"",IF(C5="LONG",(E5-D5)/D5,IF(C5="SHORT",(D5-E5)/D5)))</f>
        <v/>
      </c>
      <c r="J5" s="66">
        <f>IF(OR(D5="",G5=""),"",(D5*G5))</f>
        <v/>
      </c>
      <c r="K5" s="67">
        <f>IF(OR(F5="",D5="",C5="")=TRUE,"",IF(C5="LONG",(D5-F5)/D5,IF(C5="SHORT",(F5-D5)/D5)))</f>
        <v/>
      </c>
      <c r="L5" s="66">
        <f>IF(OR(J5="",K5=""),"",(J5*K5))</f>
        <v/>
      </c>
      <c r="M5" s="63">
        <f>IF(G5,G5*0.005,"")</f>
        <v/>
      </c>
      <c r="N5" s="66" t="n"/>
    </row>
    <row r="6">
      <c r="A6" s="2" t="n"/>
      <c r="D6" s="63" t="n"/>
      <c r="G6" s="11" t="n"/>
      <c r="H6" s="63">
        <f>IF(OR(E6="",D6="",G6="",C6="")=TRUE,"",IF(C6="LONG",(E6-D6)*G6,IF(C6="SHORT",(D6-E6)*G6)))</f>
        <v/>
      </c>
      <c r="I6" s="65">
        <f>IF(OR(E6="",D6="",C6="")=TRUE,"",IF(C6="LONG",(E6-D6)/D6,IF(C6="SHORT",(D6-E6)/D6)))</f>
        <v/>
      </c>
      <c r="J6" s="66">
        <f>IF(OR(D6="",G6=""),"",(D6*G6))</f>
        <v/>
      </c>
      <c r="K6" s="67">
        <f>IF(OR(F6="",D6="",C6="")=TRUE,"",IF(C6="LONG",(D6-F6)/D6,IF(C6="SHORT",(F6-D6)/D6)))</f>
        <v/>
      </c>
      <c r="L6" s="66">
        <f>IF(OR(J6="",K6=""),"",(J6*K6))</f>
        <v/>
      </c>
      <c r="M6" s="63">
        <f>IF(G6,G6*0.005,"")</f>
        <v/>
      </c>
      <c r="N6" s="66" t="n"/>
    </row>
    <row r="7">
      <c r="A7" s="2" t="n"/>
      <c r="D7" s="63" t="n"/>
      <c r="G7" s="11" t="n"/>
      <c r="H7" s="63">
        <f>IF(OR(E7="",D7="",G7="",C7="")=TRUE,"",IF(C7="LONG",(E7-D7)*G7,IF(C7="SHORT",(D7-E7)*G7)))</f>
        <v/>
      </c>
      <c r="I7" s="65">
        <f>IF(OR(E7="",D7="",C7="")=TRUE,"",IF(C7="LONG",(E7-D7)/D7,IF(C7="SHORT",(D7-E7)/D7)))</f>
        <v/>
      </c>
      <c r="J7" s="66">
        <f>IF(OR(D7="",G7=""),"",(D7*G7))</f>
        <v/>
      </c>
      <c r="K7" s="67">
        <f>IF(OR(F7="",D7="",C7="")=TRUE,"",IF(C7="LONG",(D7-F7)/D7,IF(C7="SHORT",(F7-D7)/D7)))</f>
        <v/>
      </c>
      <c r="L7" s="66">
        <f>IF(OR(J7="",K7=""),"",(J7*K7))</f>
        <v/>
      </c>
      <c r="M7" s="63">
        <f>IF(G7,G7*0.005,"")</f>
        <v/>
      </c>
      <c r="N7" s="66" t="n"/>
    </row>
    <row r="8">
      <c r="A8" s="2" t="n"/>
      <c r="D8" s="63" t="n"/>
      <c r="G8" s="11" t="n"/>
      <c r="H8" s="63">
        <f>IF(OR(E8="",D8="",G8="",C8="")=TRUE,"",IF(C8="LONG",(E8-D8)*G8,IF(C8="SHORT",(D8-E8)*G8)))</f>
        <v/>
      </c>
      <c r="I8" s="65">
        <f>IF(OR(E8="",D8="",C8="")=TRUE,"",IF(C8="LONG",(E8-D8)/D8,IF(C8="SHORT",(D8-E8)/D8)))</f>
        <v/>
      </c>
      <c r="J8" s="66">
        <f>IF(OR(D8="",G8=""),"",(D8*G8))</f>
        <v/>
      </c>
      <c r="K8" s="67">
        <f>IF(OR(F8="",D8="",C8="")=TRUE,"",IF(C8="LONG",(D8-F8)/D8,IF(C8="SHORT",(F8-D8)/D8)))</f>
        <v/>
      </c>
      <c r="L8" s="66">
        <f>IF(OR(J8="",K8=""),"",(J8*K8))</f>
        <v/>
      </c>
      <c r="M8" s="63">
        <f>IF(G8,G8*0.005,"")</f>
        <v/>
      </c>
      <c r="N8" s="66" t="n"/>
    </row>
    <row r="9">
      <c r="A9" s="2" t="n"/>
      <c r="D9" s="63" t="n"/>
      <c r="G9" s="11" t="n"/>
      <c r="H9" s="63">
        <f>IF(OR(E9="",D9="",G9="",C9="")=TRUE,"",IF(C9="LONG",(E9-D9)*G9,IF(C9="SHORT",(D9-E9)*G9)))</f>
        <v/>
      </c>
      <c r="I9" s="65">
        <f>IF(OR(E9="",D9="",C9="")=TRUE,"",IF(C9="LONG",(E9-D9)/D9,IF(C9="SHORT",(D9-E9)/D9)))</f>
        <v/>
      </c>
      <c r="J9" s="66">
        <f>IF(OR(D9="",G9=""),"",(D9*G9))</f>
        <v/>
      </c>
      <c r="K9" s="67">
        <f>IF(OR(F9="",D9="",C9="")=TRUE,"",IF(C9="LONG",(D9-F9)/D9,IF(C9="SHORT",(F9-D9)/D9)))</f>
        <v/>
      </c>
      <c r="L9" s="66">
        <f>IF(OR(J9="",K9=""),"",(J9*K9))</f>
        <v/>
      </c>
      <c r="M9" s="63">
        <f>IF(G9,G9*0.005,"")</f>
        <v/>
      </c>
      <c r="N9" s="66" t="n"/>
    </row>
    <row r="10">
      <c r="A10" s="2" t="n"/>
      <c r="D10" s="63" t="n"/>
      <c r="G10" s="11" t="n"/>
      <c r="H10" s="63">
        <f>IF(OR(E10="",D10="",G10="",C10="")=TRUE,"",IF(C10="LONG",(E10-D10)*G10,IF(C10="SHORT",(D10-E10)*G10)))</f>
        <v/>
      </c>
      <c r="I10" s="65">
        <f>IF(OR(E10="",D10="",C10="")=TRUE,"",IF(C10="LONG",(E10-D10)/D10,IF(C10="SHORT",(D10-E10)/D10)))</f>
        <v/>
      </c>
      <c r="J10" s="66">
        <f>IF(OR(D10="",G10=""),"",(D10*G10))</f>
        <v/>
      </c>
      <c r="K10" s="67">
        <f>IF(OR(F10="",D10="",C10="")=TRUE,"",IF(C10="LONG",(D10-F10)/D10,IF(C10="SHORT",(F10-D10)/D10)))</f>
        <v/>
      </c>
      <c r="L10" s="66">
        <f>IF(OR(J10="",K10=""),"",(J10*K10))</f>
        <v/>
      </c>
      <c r="M10" s="63">
        <f>IF(G10,G10*0.005,"")</f>
        <v/>
      </c>
      <c r="N10" s="66" t="n"/>
    </row>
    <row r="11">
      <c r="A11" s="2" t="n"/>
      <c r="D11" s="63" t="n"/>
      <c r="G11" s="11" t="n"/>
      <c r="H11" s="63">
        <f>IF(OR(E11="",D11="",G11="",C11="")=TRUE,"",IF(C11="LONG",(E11-D11)*G11,IF(C11="SHORT",(D11-E11)*G11)))</f>
        <v/>
      </c>
      <c r="I11" s="65">
        <f>IF(OR(E11="",D11="",C11="")=TRUE,"",IF(C11="LONG",(E11-D11)/D11,IF(C11="SHORT",(D11-E11)/D11)))</f>
        <v/>
      </c>
      <c r="J11" s="66">
        <f>IF(OR(D11="",G11=""),"",(D11*G11))</f>
        <v/>
      </c>
      <c r="K11" s="67">
        <f>IF(OR(F11="",D11="",C11="")=TRUE,"",IF(C11="LONG",(D11-F11)/D11,IF(C11="SHORT",(F11-D11)/D11)))</f>
        <v/>
      </c>
      <c r="L11" s="66">
        <f>IF(OR(J11="",K11=""),"",(J11*K11))</f>
        <v/>
      </c>
      <c r="M11" s="63">
        <f>IF(G11,G11*0.005,"")</f>
        <v/>
      </c>
      <c r="N11" s="66" t="n"/>
    </row>
    <row r="12">
      <c r="A12" s="2" t="n"/>
      <c r="D12" s="63" t="n"/>
      <c r="G12" s="11" t="n"/>
      <c r="H12" s="63">
        <f>IF(OR(E12="",D12="",G12="",C12="")=TRUE,"",IF(C12="LONG",(E12-D12)*G12,IF(C12="SHORT",(D12-E12)*G12)))</f>
        <v/>
      </c>
      <c r="I12" s="65">
        <f>IF(OR(E12="",D12="",C12="")=TRUE,"",IF(C12="LONG",(E12-D12)/D12,IF(C12="SHORT",(D12-E12)/D12)))</f>
        <v/>
      </c>
      <c r="J12" s="66">
        <f>IF(OR(D12="",G12=""),"",(D12*G12))</f>
        <v/>
      </c>
      <c r="K12" s="67">
        <f>IF(OR(F12="",D12="",C12="")=TRUE,"",IF(C12="LONG",(D12-F12)/D12,IF(C12="SHORT",(F12-D12)/D12)))</f>
        <v/>
      </c>
      <c r="L12" s="66">
        <f>IF(OR(J12="",K12=""),"",(J12*K12))</f>
        <v/>
      </c>
      <c r="M12" s="63">
        <f>IF(G12,G12*0.005,"")</f>
        <v/>
      </c>
      <c r="N12" s="66" t="n"/>
    </row>
    <row r="13">
      <c r="A13" s="2" t="n"/>
      <c r="D13" s="63" t="n"/>
      <c r="G13" s="11" t="n"/>
      <c r="H13" s="63">
        <f>IF(OR(E13="",D13="",G13="",C13="")=TRUE,"",IF(C13="LONG",(E13-D13)*G13,IF(C13="SHORT",(D13-E13)*G13)))</f>
        <v/>
      </c>
      <c r="I13" s="65">
        <f>IF(OR(E13="",D13="",C13="")=TRUE,"",IF(C13="LONG",(E13-D13)/D13,IF(C13="SHORT",(D13-E13)/D13)))</f>
        <v/>
      </c>
      <c r="J13" s="66">
        <f>IF(OR(D13="",G13=""),"",(D13*G13))</f>
        <v/>
      </c>
      <c r="K13" s="67">
        <f>IF(OR(F13="",D13="",C13="")=TRUE,"",IF(C13="LONG",(D13-F13)/D13,IF(C13="SHORT",(F13-D13)/D13)))</f>
        <v/>
      </c>
      <c r="L13" s="66">
        <f>IF(OR(J13="",K13=""),"",(J13*K13))</f>
        <v/>
      </c>
      <c r="M13" s="63">
        <f>IF(G13,G13*0.005,"")</f>
        <v/>
      </c>
      <c r="N13" s="66" t="n"/>
    </row>
    <row r="14">
      <c r="A14" s="2" t="n"/>
      <c r="D14" s="63" t="n"/>
      <c r="G14" s="11" t="n"/>
      <c r="H14" s="63">
        <f>IF(OR(E14="",D14="",G14="",C14="")=TRUE,"",IF(C14="LONG",(E14-D14)*G14,IF(C14="SHORT",(D14-E14)*G14)))</f>
        <v/>
      </c>
      <c r="I14" s="65">
        <f>IF(OR(E14="",D14="",C14="")=TRUE,"",IF(C14="LONG",(E14-D14)/D14,IF(C14="SHORT",(D14-E14)/D14)))</f>
        <v/>
      </c>
      <c r="J14" s="66">
        <f>IF(OR(D14="",G14=""),"",(D14*G14))</f>
        <v/>
      </c>
      <c r="K14" s="67">
        <f>IF(OR(F14="",D14="",C14="")=TRUE,"",IF(C14="LONG",(D14-F14)/D14,IF(C14="SHORT",(F14-D14)/D14)))</f>
        <v/>
      </c>
      <c r="L14" s="66">
        <f>IF(OR(J14="",K14=""),"",(J14*K14))</f>
        <v/>
      </c>
      <c r="M14" s="63">
        <f>IF(G14,G14*0.005,"")</f>
        <v/>
      </c>
      <c r="N14" s="66" t="n"/>
    </row>
    <row r="15">
      <c r="A15" s="2" t="n"/>
      <c r="D15" s="63" t="n"/>
      <c r="G15" s="11" t="n"/>
      <c r="H15" s="63">
        <f>IF(OR(E15="",D15="",G15="",C15="")=TRUE,"",IF(C15="LONG",(E15-D15)*G15,IF(C15="SHORT",(D15-E15)*G15)))</f>
        <v/>
      </c>
      <c r="I15" s="65">
        <f>IF(OR(E15="",D15="",C15="")=TRUE,"",IF(C15="LONG",(E15-D15)/D15,IF(C15="SHORT",(D15-E15)/D15)))</f>
        <v/>
      </c>
      <c r="J15" s="66">
        <f>IF(OR(D15="",G15=""),"",(D15*G15))</f>
        <v/>
      </c>
      <c r="K15" s="67">
        <f>IF(OR(F15="",D15="",C15="")=TRUE,"",IF(C15="LONG",(D15-F15)/D15,IF(C15="SHORT",(F15-D15)/D15)))</f>
        <v/>
      </c>
      <c r="L15" s="66">
        <f>IF(OR(J15="",K15=""),"",(J15*K15))</f>
        <v/>
      </c>
      <c r="M15" s="63">
        <f>IF(G15,G15*0.005,"")</f>
        <v/>
      </c>
      <c r="N15" s="66" t="n"/>
    </row>
    <row r="16">
      <c r="A16" s="12" t="inlineStr">
        <is>
          <t>X</t>
        </is>
      </c>
      <c r="D16" s="63" t="n"/>
      <c r="F16" s="68" t="n"/>
      <c r="G16" s="14" t="n"/>
      <c r="H16" s="68" t="n"/>
      <c r="I16" s="69" t="n"/>
      <c r="J16" s="68" t="n"/>
      <c r="K16" s="70">
        <f>IF(OR(F16="",D16="",C16="")=TRUE,"",IF(C16="LONG",(D16-F16)/D16,IF(C16="SHORT",(F16-D16)/D16)))</f>
        <v/>
      </c>
      <c r="L16" s="66">
        <f>IF(OR(J16="",K16=""),"",(J16*K16))</f>
        <v/>
      </c>
      <c r="M16" s="68">
        <f>IF(G16,G16*0.005,"")</f>
        <v/>
      </c>
      <c r="N16" s="68" t="n"/>
    </row>
  </sheetData>
  <conditionalFormatting sqref="B11">
    <cfRule type="expression" priority="38" dxfId="2">
      <formula>$I7=""</formula>
    </cfRule>
    <cfRule type="expression" priority="39" dxfId="1">
      <formula>$I7&lt;0</formula>
    </cfRule>
    <cfRule type="expression" priority="40" dxfId="0">
      <formula>$I7&gt;0</formula>
    </cfRule>
  </conditionalFormatting>
  <conditionalFormatting sqref="B2:N16">
    <cfRule type="expression" priority="41" dxfId="2">
      <formula>$I2=""</formula>
    </cfRule>
    <cfRule type="expression" priority="42" dxfId="1">
      <formula>$I2&lt;0</formula>
    </cfRule>
    <cfRule type="expression" priority="43" dxfId="0">
      <formula>$I2&gt;0</formula>
    </cfRule>
  </conditionalFormatting>
  <dataValidations count="2">
    <dataValidation sqref="C2:C15" showDropDown="0" showInputMessage="1" showErrorMessage="1" allowBlank="1" type="list">
      <formula1>PositionType</formula1>
    </dataValidation>
    <dataValidation sqref="N2:N15" showDropDown="0" showInputMessage="1" showErrorMessage="1" allowBlank="1" type="list">
      <formula1>StoppedSelect</formula1>
    </dataValidation>
  </dataValidations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5" sqref="A5"/>
    </sheetView>
  </sheetViews>
  <sheetFormatPr baseColWidth="8" defaultColWidth="9.109375" defaultRowHeight="12"/>
  <cols>
    <col width="10.6640625" customWidth="1" style="1" min="1" max="1"/>
    <col width="9.109375" customWidth="1" style="1" min="2" max="16384"/>
  </cols>
  <sheetData>
    <row r="1">
      <c r="A1" s="1" t="inlineStr">
        <is>
          <t>LONG</t>
        </is>
      </c>
    </row>
    <row r="2">
      <c r="A2" s="1" t="inlineStr">
        <is>
          <t>SHORT</t>
        </is>
      </c>
    </row>
    <row r="4">
      <c r="A4" s="1" t="inlineStr">
        <is>
          <t>YES</t>
        </is>
      </c>
    </row>
    <row r="5">
      <c r="A5" s="1" t="inlineStr">
        <is>
          <t>NO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Crypto</dc:creator>
  <dcterms:created xmlns:dcterms="http://purl.org/dc/terms/" xmlns:xsi="http://www.w3.org/2001/XMLSchema-instance" xsi:type="dcterms:W3CDTF">2019-12-17T21:43:00Z</dcterms:created>
  <dcterms:modified xmlns:dcterms="http://purl.org/dc/terms/" xmlns:xsi="http://www.w3.org/2001/XMLSchema-instance" xsi:type="dcterms:W3CDTF">2026-09-05T16:34:58Z</dcterms:modified>
  <cp:lastModifiedBy>则潼 王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D5A565AD127C4FFD9CF01033B8ADC129_13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